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850910e8b4af00/Área de Trabalho/Setec/"/>
    </mc:Choice>
  </mc:AlternateContent>
  <xr:revisionPtr revIDLastSave="30" documentId="13_ncr:1_{A6D42354-1E93-4C26-A945-FF6A76DB1FDE}" xr6:coauthVersionLast="47" xr6:coauthVersionMax="47" xr10:uidLastSave="{1777C74F-4FD0-4B69-B3D0-0D7822798B79}"/>
  <bookViews>
    <workbookView xWindow="-108" yWindow="-108" windowWidth="23256" windowHeight="13896" tabRatio="771" xr2:uid="{6451B6D5-7AA9-4BB8-BBA6-19343CC95B6A}"/>
  </bookViews>
  <sheets>
    <sheet name="Planilha1" sheetId="17" r:id="rId1"/>
  </sheets>
  <definedNames>
    <definedName name="CONCESSÃO">#REF!</definedName>
    <definedName name="emenda">#REF!</definedName>
    <definedName name="Estados">#REF!</definedName>
    <definedName name="Estados_UF">#REF!</definedName>
    <definedName name="FNDE">#REF!</definedName>
    <definedName name="HTML_CodePage" hidden="1">1252</definedName>
    <definedName name="HTML_Control" hidden="1">{"'PREVISAO TRIMESTRAL INTERNET'!$B$19:$H$60"}</definedName>
    <definedName name="HTML_Description" hidden="1">""</definedName>
    <definedName name="HTML_Email" hidden="1">""</definedName>
    <definedName name="HTML_Header" hidden="1">"DIVULGA PREV FUNDEF"</definedName>
    <definedName name="HTML_LastUpdate" hidden="1">"07/04/03"</definedName>
    <definedName name="HTML_LineAfter" hidden="1">FALSE</definedName>
    <definedName name="HTML_LineBefore" hidden="1">FALSE</definedName>
    <definedName name="HTML_Name" hidden="1">"paulohf"</definedName>
    <definedName name="HTML_OBDlg2" hidden="1">TRUE</definedName>
    <definedName name="HTML_OBDlg3" hidden="1">FALSE</definedName>
    <definedName name="HTML_OBDlg4" hidden="1">TRUE</definedName>
    <definedName name="HTML_OS" hidden="1">0</definedName>
    <definedName name="HTML_PathFile" hidden="1">"L:\COFIN\INTERNET\Transferencias_para_Estados_e_Municipios\Transferencias_Constitucionais\Previsao\Previsao_para_o_Trimestre\tabto.htm"</definedName>
    <definedName name="HTML_PathTemplate" hidden="1">"file:///c:/internet/TRANSFC/PREVISAO/prevalor/prevce.htm"</definedName>
    <definedName name="HTML_Title" hidden="1">"Previsao dos Fundos"</definedName>
    <definedName name="INDICES2006" hidden="1">{"'PREVISAO TRIMESTRAL INTERNET'!$B$19:$H$60"}</definedName>
    <definedName name="jjhkjh">#REF!</definedName>
    <definedName name="Municipios">#REF!</definedName>
    <definedName name="Previsao_dos_Fundos_PREVISFUNDO_Listar">#REF!</definedName>
    <definedName name="saljdalçfakjs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7" l="1"/>
  <c r="N14" i="17"/>
  <c r="N15" i="17"/>
  <c r="N26" i="17"/>
  <c r="N27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" i="17"/>
  <c r="I4" i="17"/>
  <c r="I5" i="17"/>
  <c r="N5" i="17" s="1"/>
  <c r="I6" i="17"/>
  <c r="N6" i="17" s="1"/>
  <c r="I7" i="17"/>
  <c r="N7" i="17" s="1"/>
  <c r="I8" i="17"/>
  <c r="N8" i="17" s="1"/>
  <c r="I9" i="17"/>
  <c r="N9" i="17" s="1"/>
  <c r="I10" i="17"/>
  <c r="I11" i="17"/>
  <c r="N11" i="17" s="1"/>
  <c r="I12" i="17"/>
  <c r="N12" i="17" s="1"/>
  <c r="I13" i="17"/>
  <c r="N13" i="17" s="1"/>
  <c r="I14" i="17"/>
  <c r="I15" i="17"/>
  <c r="I16" i="17"/>
  <c r="N16" i="17" s="1"/>
  <c r="I17" i="17"/>
  <c r="N17" i="17" s="1"/>
  <c r="I18" i="17"/>
  <c r="N18" i="17" s="1"/>
  <c r="I19" i="17"/>
  <c r="N19" i="17" s="1"/>
  <c r="I20" i="17"/>
  <c r="N20" i="17" s="1"/>
  <c r="I21" i="17"/>
  <c r="N21" i="17" s="1"/>
  <c r="I22" i="17"/>
  <c r="N22" i="17" s="1"/>
  <c r="I23" i="17"/>
  <c r="N23" i="17" s="1"/>
  <c r="I24" i="17"/>
  <c r="N24" i="17" s="1"/>
  <c r="I25" i="17"/>
  <c r="N25" i="17" s="1"/>
  <c r="I26" i="17"/>
  <c r="I27" i="17"/>
  <c r="I28" i="17"/>
  <c r="N28" i="17" s="1"/>
  <c r="I29" i="17"/>
  <c r="N29" i="17" s="1"/>
  <c r="I3" i="17"/>
  <c r="N3" i="17" s="1"/>
  <c r="D30" i="17"/>
  <c r="E30" i="17"/>
  <c r="F30" i="17"/>
  <c r="G30" i="17"/>
  <c r="H30" i="17"/>
  <c r="K30" i="17"/>
  <c r="L30" i="17"/>
  <c r="J30" i="17"/>
  <c r="I30" i="17" l="1"/>
  <c r="N4" i="17"/>
  <c r="N30" i="17"/>
  <c r="M30" i="17"/>
</calcChain>
</file>

<file path=xl/sharedStrings.xml><?xml version="1.0" encoding="utf-8"?>
<sst xmlns="http://schemas.openxmlformats.org/spreadsheetml/2006/main" count="70" uniqueCount="70">
  <si>
    <t>UF</t>
  </si>
  <si>
    <t>Ente Federado</t>
  </si>
  <si>
    <t>Código IBGE</t>
  </si>
  <si>
    <t>Rondônia</t>
  </si>
  <si>
    <t>Acre</t>
  </si>
  <si>
    <t>Amazonas</t>
  </si>
  <si>
    <t>Pará</t>
  </si>
  <si>
    <t>Amapá</t>
  </si>
  <si>
    <t>Tocantins</t>
  </si>
  <si>
    <t>Maranhão</t>
  </si>
  <si>
    <t>Piauí</t>
  </si>
  <si>
    <t>Ceará</t>
  </si>
  <si>
    <t>Paraíba</t>
  </si>
  <si>
    <t>Pernambuco</t>
  </si>
  <si>
    <t>Sergipe</t>
  </si>
  <si>
    <t>Bahia</t>
  </si>
  <si>
    <t>Espírito Santo</t>
  </si>
  <si>
    <t>São Paulo</t>
  </si>
  <si>
    <t>Paraná</t>
  </si>
  <si>
    <t>Santa Catarina</t>
  </si>
  <si>
    <t>Mato Grosso do Sul</t>
  </si>
  <si>
    <t>Mato Grosso</t>
  </si>
  <si>
    <t>Goiás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</si>
  <si>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</si>
  <si>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</si>
  <si>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</si>
  <si>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</si>
  <si>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</si>
  <si>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</si>
  <si>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</si>
  <si>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</si>
  <si>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</si>
  <si>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</si>
  <si>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</si>
  <si>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</si>
  <si>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</si>
  <si>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</si>
  <si>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</si>
  <si>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</si>
  <si>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</si>
  <si>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</si>
  <si>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</si>
  <si>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</si>
  <si>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</si>
  <si>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</si>
  <si>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</si>
  <si>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</si>
  <si>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</si>
  <si>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</si>
  <si>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Roraima</t>
  </si>
  <si>
    <t>Rio Grande do Norte</t>
  </si>
  <si>
    <t>Alagoas</t>
  </si>
  <si>
    <t>Minas Gerais</t>
  </si>
  <si>
    <t>Rio de Janeiro</t>
  </si>
  <si>
    <t>Rio Grande do Sul</t>
  </si>
  <si>
    <t>Distrito Federal</t>
  </si>
  <si>
    <t>DF</t>
  </si>
  <si>
    <t>FPM (20%)</t>
  </si>
  <si>
    <t>FPE (20%)</t>
  </si>
  <si>
    <t>IPI-EXP. (20%)</t>
  </si>
  <si>
    <t>ITR (20%)</t>
  </si>
  <si>
    <t>LC 201/23 (20%)</t>
  </si>
  <si>
    <t>TOTAL UNIÃO (20%)</t>
  </si>
  <si>
    <t>ICMS (20%)</t>
  </si>
  <si>
    <t>IPVA (20%)</t>
  </si>
  <si>
    <t>ITCMD (20%)</t>
  </si>
  <si>
    <t>TOTAL ESTADOS (20%)</t>
  </si>
  <si>
    <t>TOTAL GERAL (20%)</t>
  </si>
  <si>
    <t>TOTAL</t>
  </si>
  <si>
    <t>Estimativa da receita total dos Fundos (inciso I, art. 16, Lei 14.113/2020)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</si>
</sst>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" fontId="7" fillId="0" borderId="0" applyFont="0" applyFill="0" applyBorder="0" applyAlignment="0" applyProtection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43" fontId="5" fillId="0" borderId="1" xfId="1" applyFont="1" applyBorder="1"/>
    <xf numFmtId="0" fontId="9" fillId="0" borderId="1" xfId="0" applyFont="1" applyBorder="1" applyAlignment="1">
      <alignment horizontal="center"/>
    </xf>
    <xf numFmtId="43" fontId="3" fillId="2" borderId="2" xfId="1" applyFont="1" applyFill="1" applyBorder="1" applyAlignment="1">
      <alignment horizontal="center" vertical="center" wrapText="1"/>
    </xf>
    <xf numFmtId="43" fontId="5" fillId="2" borderId="1" xfId="1" applyFont="1" applyFill="1" applyBorder="1"/>
    <xf numFmtId="43" fontId="5" fillId="0" borderId="2" xfId="1" applyFont="1" applyBorder="1" applyAlignment="1">
      <alignment horizontal="center" vertical="center" wrapText="1"/>
    </xf>
    <xf numFmtId="43" fontId="3" fillId="0" borderId="1" xfId="1" applyFont="1" applyBorder="1"/>
    <xf numFmtId="43" fontId="3" fillId="2" borderId="1" xfId="1" applyFont="1" applyFill="1" applyBorder="1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4" fontId="0" fillId="0" borderId="0" xfId="0" applyNumberFormat="1"/>
  </cellXfs>
  <cellStyles count="7">
    <cellStyle name="Moeda 2" xfId="3" xr:uid="{1879595C-F812-4B37-BE0B-71033DD69A4F}"/>
    <cellStyle name="Normal" xfId="0" builtinId="0"/>
    <cellStyle name="Separador de milhares 2" xfId="4" xr:uid="{3466C8D7-7FA1-4CCB-9AB5-11139709B55A}"/>
    <cellStyle name="Separador de milhares 2 2" xfId="6" xr:uid="{BA4C700C-3829-4E91-B0E7-38316783B65B}"/>
    <cellStyle name="Vírgula" xfId="1" builtinId="3"/>
    <cellStyle name="Vírgula 2" xfId="5" xr:uid="{DA413CE6-6E28-450F-8260-BC8266775058}"/>
    <cellStyle name="Vírgula 3" xfId="2" xr:uid="{66C5A3F1-3A89-4BF5-9E3C-F96D63D4D4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8DA7-F167-47F1-A755-9DAD6DF14E23}">
  <dimension ref="A1:N36"/>
  <sheetViews>
    <sheetView showGridLines="0" tabSelected="1" workbookViewId="0">
      <selection activeCell="I34" sqref="I34:I36"/>
    </sheetView>
  </sheetViews>
  <sheetFormatPr defaultRowHeight="14.4" x14ac:dyDescent="0.3"/>
  <cols>
    <col min="1" max="1" width="3.5546875" bestFit="1" customWidth="1"/>
    <col min="2" max="2" width="17" bestFit="1" customWidth="1"/>
    <col min="3" max="3" width="9.5546875" bestFit="1" customWidth="1"/>
    <col min="4" max="5" width="15.109375" bestFit="1" customWidth="1"/>
    <col min="6" max="6" width="14.33203125" bestFit="1" customWidth="1"/>
    <col min="7" max="7" width="12.88671875" bestFit="1" customWidth="1"/>
    <col min="8" max="8" width="13.109375" bestFit="1" customWidth="1"/>
    <col min="9" max="9" width="17.33203125" bestFit="1" customWidth="1"/>
    <col min="10" max="10" width="16" bestFit="1" customWidth="1"/>
    <col min="11" max="11" width="15.109375" bestFit="1" customWidth="1"/>
    <col min="12" max="12" width="14.33203125" bestFit="1" customWidth="1"/>
    <col min="13" max="13" width="18" bestFit="1" customWidth="1"/>
    <col min="14" max="14" width="16" bestFit="1" customWidth="1"/>
  </cols>
  <sheetData>
    <row r="1" spans="1:14" x14ac:dyDescent="0.3">
      <c r="A1" s="15" t="s">
        <v>69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7"/>
    </row>
    <row r="2" spans="1:14" x14ac:dyDescent="0.3">
      <c r="A2" s="1" t="s">
        <v>0</v>
      </c>
      <c r="B2" s="11" t="s">
        <v>1</v>
      </c>
      <c r="C2" s="2" t="s">
        <v>2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6" t="s">
        <v>62</v>
      </c>
      <c r="J2" s="3" t="s">
        <v>63</v>
      </c>
      <c r="K2" s="3" t="s">
        <v>64</v>
      </c>
      <c r="L2" s="3" t="s">
        <v>65</v>
      </c>
      <c r="M2" s="6" t="s">
        <v>66</v>
      </c>
      <c r="N2" s="6" t="s">
        <v>67</v>
      </c>
    </row>
    <row r="3" spans="1:14" x14ac:dyDescent="0.3">
      <c r="A3" s="5" t="s">
        <v>24</v>
      </c>
      <c r="B3" s="5" t="s">
        <v>4</v>
      </c>
      <c r="C3" s="5">
        <v>12</v>
      </c>
      <c r="D3" s="4">
        <v>230846177.56999999</v>
      </c>
      <c r="E3" s="4">
        <v>1539837565.21</v>
      </c>
      <c r="F3" s="4">
        <v>313001.15999999997</v>
      </c>
      <c r="G3" s="4">
        <v>216538.09</v>
      </c>
      <c r="H3" s="4">
        <v>0</v>
      </c>
      <c r="I3" s="7">
        <f>D3+E3+F3+G3+H3</f>
        <v>1771213282.03</v>
      </c>
      <c r="J3" s="4">
        <v>444061399.63999999</v>
      </c>
      <c r="K3" s="4">
        <v>31462573.68</v>
      </c>
      <c r="L3" s="4">
        <v>1910173.12</v>
      </c>
      <c r="M3" s="7">
        <f>J3+K3+L3</f>
        <v>477434146.44</v>
      </c>
      <c r="N3" s="7">
        <f>I3+M3</f>
        <v>2248647428.4699998</v>
      </c>
    </row>
    <row r="4" spans="1:14" x14ac:dyDescent="0.3">
      <c r="A4" s="5" t="s">
        <v>36</v>
      </c>
      <c r="B4" s="5" t="s">
        <v>51</v>
      </c>
      <c r="C4" s="5">
        <v>27</v>
      </c>
      <c r="D4" s="4">
        <v>973315691.90999997</v>
      </c>
      <c r="E4" s="4">
        <v>1768527529.52</v>
      </c>
      <c r="F4" s="4">
        <v>1967387.22</v>
      </c>
      <c r="G4" s="4">
        <v>44828528.039999999</v>
      </c>
      <c r="H4" s="4">
        <v>0</v>
      </c>
      <c r="I4" s="7">
        <f t="shared" ref="I4:I29" si="0">D4+E4+F4+G4+H4</f>
        <v>2788639136.6899996</v>
      </c>
      <c r="J4" s="4">
        <v>1801620994.1700001</v>
      </c>
      <c r="K4" s="4">
        <v>154778818.12</v>
      </c>
      <c r="L4" s="4">
        <v>14509178.310000001</v>
      </c>
      <c r="M4" s="7">
        <f t="shared" ref="M4:M29" si="1">J4+K4+L4</f>
        <v>1970908990.5999999</v>
      </c>
      <c r="N4" s="7">
        <f t="shared" ref="N4:N29" si="2">I4+M4</f>
        <v>4759548127.289999</v>
      </c>
    </row>
    <row r="5" spans="1:14" x14ac:dyDescent="0.3">
      <c r="A5" s="5" t="s">
        <v>25</v>
      </c>
      <c r="B5" s="5" t="s">
        <v>5</v>
      </c>
      <c r="C5" s="5">
        <v>13</v>
      </c>
      <c r="D5" s="4">
        <v>775832497.33000004</v>
      </c>
      <c r="E5" s="4">
        <v>1423598117.1400001</v>
      </c>
      <c r="F5" s="4">
        <v>9683342.7400000002</v>
      </c>
      <c r="G5" s="4">
        <v>626314.49</v>
      </c>
      <c r="H5" s="4">
        <v>0</v>
      </c>
      <c r="I5" s="7">
        <f t="shared" si="0"/>
        <v>2209740271.6999998</v>
      </c>
      <c r="J5" s="4">
        <v>3384820210.46</v>
      </c>
      <c r="K5" s="4">
        <v>214434714.96000001</v>
      </c>
      <c r="L5" s="4">
        <v>11391920.93</v>
      </c>
      <c r="M5" s="7">
        <f t="shared" si="1"/>
        <v>3610646846.3499999</v>
      </c>
      <c r="N5" s="7">
        <f t="shared" si="2"/>
        <v>5820387118.0499992</v>
      </c>
    </row>
    <row r="6" spans="1:14" x14ac:dyDescent="0.3">
      <c r="A6" s="5" t="s">
        <v>28</v>
      </c>
      <c r="B6" s="5" t="s">
        <v>7</v>
      </c>
      <c r="C6" s="5">
        <v>16</v>
      </c>
      <c r="D6" s="4">
        <v>170141423.65000001</v>
      </c>
      <c r="E6" s="4">
        <v>1343258118.8199999</v>
      </c>
      <c r="F6" s="4">
        <v>543120.86</v>
      </c>
      <c r="G6" s="4">
        <v>98656.66</v>
      </c>
      <c r="H6" s="4">
        <v>0</v>
      </c>
      <c r="I6" s="7">
        <f t="shared" si="0"/>
        <v>1514041319.99</v>
      </c>
      <c r="J6" s="4">
        <v>340585536.68000001</v>
      </c>
      <c r="K6" s="4">
        <v>29745455.469999999</v>
      </c>
      <c r="L6" s="4">
        <v>735038.63</v>
      </c>
      <c r="M6" s="7">
        <f t="shared" si="1"/>
        <v>371066030.77999997</v>
      </c>
      <c r="N6" s="7">
        <f t="shared" si="2"/>
        <v>1885107350.77</v>
      </c>
    </row>
    <row r="7" spans="1:14" x14ac:dyDescent="0.3">
      <c r="A7" s="5" t="s">
        <v>38</v>
      </c>
      <c r="B7" s="5" t="s">
        <v>15</v>
      </c>
      <c r="C7" s="5">
        <v>29</v>
      </c>
      <c r="D7" s="4">
        <v>3920985490.96</v>
      </c>
      <c r="E7" s="4">
        <v>3768834031.1599998</v>
      </c>
      <c r="F7" s="4">
        <v>61350356.090000004</v>
      </c>
      <c r="G7" s="4">
        <v>16364162.18</v>
      </c>
      <c r="H7" s="4">
        <v>53334000</v>
      </c>
      <c r="I7" s="7">
        <f t="shared" si="0"/>
        <v>7820868040.3900003</v>
      </c>
      <c r="J7" s="4">
        <v>8399793729.3400002</v>
      </c>
      <c r="K7" s="4">
        <v>551399862.88</v>
      </c>
      <c r="L7" s="4">
        <v>77414490.599999994</v>
      </c>
      <c r="M7" s="7">
        <f t="shared" si="1"/>
        <v>9028608082.8199997</v>
      </c>
      <c r="N7" s="7">
        <f t="shared" si="2"/>
        <v>16849476123.209999</v>
      </c>
    </row>
    <row r="8" spans="1:14" x14ac:dyDescent="0.3">
      <c r="A8" s="5" t="s">
        <v>32</v>
      </c>
      <c r="B8" s="5" t="s">
        <v>11</v>
      </c>
      <c r="C8" s="5">
        <v>23</v>
      </c>
      <c r="D8" s="4">
        <v>2126641780.6199999</v>
      </c>
      <c r="E8" s="4">
        <v>2909688666.54</v>
      </c>
      <c r="F8" s="4">
        <v>9507131.2400000002</v>
      </c>
      <c r="G8" s="4">
        <v>802685.16</v>
      </c>
      <c r="H8" s="4">
        <v>32314000</v>
      </c>
      <c r="I8" s="7">
        <f t="shared" si="0"/>
        <v>5078954263.5599995</v>
      </c>
      <c r="J8" s="4">
        <v>4289517097.6500001</v>
      </c>
      <c r="K8" s="4">
        <v>431756398.37</v>
      </c>
      <c r="L8" s="4">
        <v>49462407.32</v>
      </c>
      <c r="M8" s="7">
        <f t="shared" si="1"/>
        <v>4770735903.3400002</v>
      </c>
      <c r="N8" s="7">
        <f t="shared" si="2"/>
        <v>9849690166.8999996</v>
      </c>
    </row>
    <row r="9" spans="1:14" x14ac:dyDescent="0.3">
      <c r="A9" s="5" t="s">
        <v>56</v>
      </c>
      <c r="B9" s="5" t="s">
        <v>55</v>
      </c>
      <c r="C9" s="5">
        <v>53</v>
      </c>
      <c r="D9" s="4">
        <v>74091910.430000007</v>
      </c>
      <c r="E9" s="4">
        <v>280212305.10000002</v>
      </c>
      <c r="F9" s="4">
        <v>1824117.74</v>
      </c>
      <c r="G9" s="4">
        <v>288665.68</v>
      </c>
      <c r="H9" s="4">
        <v>0</v>
      </c>
      <c r="I9" s="7">
        <f t="shared" si="0"/>
        <v>356416998.95000005</v>
      </c>
      <c r="J9" s="4">
        <v>2519618535.9899998</v>
      </c>
      <c r="K9" s="4">
        <v>395695901.25999999</v>
      </c>
      <c r="L9" s="4">
        <v>79387799.790000007</v>
      </c>
      <c r="M9" s="7">
        <f t="shared" si="1"/>
        <v>2994702237.04</v>
      </c>
      <c r="N9" s="7">
        <f t="shared" si="2"/>
        <v>3351119235.9899998</v>
      </c>
    </row>
    <row r="10" spans="1:14" x14ac:dyDescent="0.3">
      <c r="A10" s="5" t="s">
        <v>40</v>
      </c>
      <c r="B10" s="5" t="s">
        <v>16</v>
      </c>
      <c r="C10" s="5">
        <v>32</v>
      </c>
      <c r="D10" s="4">
        <v>761397120.23000002</v>
      </c>
      <c r="E10" s="4">
        <v>694561134.75999999</v>
      </c>
      <c r="F10" s="4">
        <v>55221076.590000004</v>
      </c>
      <c r="G10" s="4">
        <v>2273436.9700000002</v>
      </c>
      <c r="H10" s="4">
        <v>35664000</v>
      </c>
      <c r="I10" s="7">
        <f t="shared" si="0"/>
        <v>1549116768.55</v>
      </c>
      <c r="J10" s="4">
        <v>4523169343.3599997</v>
      </c>
      <c r="K10" s="4">
        <v>270949756.76999998</v>
      </c>
      <c r="L10" s="4">
        <v>47904003.189999998</v>
      </c>
      <c r="M10" s="7">
        <f t="shared" si="1"/>
        <v>4842023103.3199987</v>
      </c>
      <c r="N10" s="7">
        <f t="shared" si="2"/>
        <v>6391139871.8699989</v>
      </c>
    </row>
    <row r="11" spans="1:14" x14ac:dyDescent="0.3">
      <c r="A11" s="5" t="s">
        <v>48</v>
      </c>
      <c r="B11" s="5" t="s">
        <v>22</v>
      </c>
      <c r="C11" s="5">
        <v>52</v>
      </c>
      <c r="D11" s="4">
        <v>1576475294.03</v>
      </c>
      <c r="E11" s="4">
        <v>1101866097.71</v>
      </c>
      <c r="F11" s="4">
        <v>41645874.399999999</v>
      </c>
      <c r="G11" s="4">
        <v>89236593.420000002</v>
      </c>
      <c r="H11" s="4">
        <v>69688000</v>
      </c>
      <c r="I11" s="7">
        <f t="shared" si="0"/>
        <v>2878911859.5599999</v>
      </c>
      <c r="J11" s="4">
        <v>6106572764.5299997</v>
      </c>
      <c r="K11" s="4">
        <v>709377092.52999997</v>
      </c>
      <c r="L11" s="4">
        <v>181785279.87</v>
      </c>
      <c r="M11" s="7">
        <f t="shared" si="1"/>
        <v>6997735136.9299994</v>
      </c>
      <c r="N11" s="7">
        <f t="shared" si="2"/>
        <v>9876646996.4899998</v>
      </c>
    </row>
    <row r="12" spans="1:14" x14ac:dyDescent="0.3">
      <c r="A12" s="5" t="s">
        <v>30</v>
      </c>
      <c r="B12" s="5" t="s">
        <v>9</v>
      </c>
      <c r="C12" s="5">
        <v>21</v>
      </c>
      <c r="D12" s="4">
        <v>1791440359.1400001</v>
      </c>
      <c r="E12" s="4">
        <v>2873044184.02</v>
      </c>
      <c r="F12" s="4">
        <v>21276530.16</v>
      </c>
      <c r="G12" s="4">
        <v>5433519.8600000003</v>
      </c>
      <c r="H12" s="4">
        <v>0</v>
      </c>
      <c r="I12" s="7">
        <f t="shared" si="0"/>
        <v>4691194593.1799994</v>
      </c>
      <c r="J12" s="4">
        <v>3162648831.52</v>
      </c>
      <c r="K12" s="4">
        <v>220699833.40000001</v>
      </c>
      <c r="L12" s="4">
        <v>19851378.600000001</v>
      </c>
      <c r="M12" s="7">
        <f t="shared" si="1"/>
        <v>3403200043.52</v>
      </c>
      <c r="N12" s="7">
        <f t="shared" si="2"/>
        <v>8094394636.6999989</v>
      </c>
    </row>
    <row r="13" spans="1:14" x14ac:dyDescent="0.3">
      <c r="A13" s="5" t="s">
        <v>39</v>
      </c>
      <c r="B13" s="5" t="s">
        <v>52</v>
      </c>
      <c r="C13" s="5">
        <v>31</v>
      </c>
      <c r="D13" s="4">
        <v>5623189950.5</v>
      </c>
      <c r="E13" s="4">
        <v>1825292547.6900001</v>
      </c>
      <c r="F13" s="4">
        <v>226951881.99000001</v>
      </c>
      <c r="G13" s="4">
        <v>64653321.369999997</v>
      </c>
      <c r="H13" s="4">
        <v>168087836.74000001</v>
      </c>
      <c r="I13" s="7">
        <f t="shared" si="0"/>
        <v>7908175538.29</v>
      </c>
      <c r="J13" s="4">
        <v>17542415208.889999</v>
      </c>
      <c r="K13" s="4">
        <v>2590460642.71</v>
      </c>
      <c r="L13" s="4">
        <v>451783388.52999997</v>
      </c>
      <c r="M13" s="7">
        <f t="shared" si="1"/>
        <v>20584659240.129997</v>
      </c>
      <c r="N13" s="7">
        <f t="shared" si="2"/>
        <v>28492834778.419998</v>
      </c>
    </row>
    <row r="14" spans="1:14" x14ac:dyDescent="0.3">
      <c r="A14" s="5" t="s">
        <v>46</v>
      </c>
      <c r="B14" s="5" t="s">
        <v>20</v>
      </c>
      <c r="C14" s="5">
        <v>50</v>
      </c>
      <c r="D14" s="4">
        <v>621529175.22000003</v>
      </c>
      <c r="E14" s="4">
        <v>569216163.07000005</v>
      </c>
      <c r="F14" s="4">
        <v>41514124.100000001</v>
      </c>
      <c r="G14" s="4">
        <v>107342679.37</v>
      </c>
      <c r="H14" s="4">
        <v>0</v>
      </c>
      <c r="I14" s="7">
        <f t="shared" si="0"/>
        <v>1339602141.7599998</v>
      </c>
      <c r="J14" s="4">
        <v>3524326922.1700001</v>
      </c>
      <c r="K14" s="4">
        <v>255896949.78999999</v>
      </c>
      <c r="L14" s="4">
        <v>152477346.44999999</v>
      </c>
      <c r="M14" s="7">
        <f t="shared" si="1"/>
        <v>3932701218.4099998</v>
      </c>
      <c r="N14" s="7">
        <f t="shared" si="2"/>
        <v>5272303360.1700001</v>
      </c>
    </row>
    <row r="15" spans="1:14" x14ac:dyDescent="0.3">
      <c r="A15" s="5" t="s">
        <v>47</v>
      </c>
      <c r="B15" s="5" t="s">
        <v>21</v>
      </c>
      <c r="C15" s="5">
        <v>51</v>
      </c>
      <c r="D15" s="4">
        <v>772190031.34000003</v>
      </c>
      <c r="E15" s="4">
        <v>871311200.09000003</v>
      </c>
      <c r="F15" s="4">
        <v>35396346.109999999</v>
      </c>
      <c r="G15" s="4">
        <v>108872967.81</v>
      </c>
      <c r="H15" s="4">
        <v>53070000</v>
      </c>
      <c r="I15" s="7">
        <f t="shared" si="0"/>
        <v>1840840545.3499999</v>
      </c>
      <c r="J15" s="4">
        <v>5206085804.4499998</v>
      </c>
      <c r="K15" s="4">
        <v>402731061.80000001</v>
      </c>
      <c r="L15" s="4">
        <v>66358183.090000004</v>
      </c>
      <c r="M15" s="7">
        <f t="shared" si="1"/>
        <v>5675175049.3400002</v>
      </c>
      <c r="N15" s="7">
        <f t="shared" si="2"/>
        <v>7516015594.6900005</v>
      </c>
    </row>
    <row r="16" spans="1:14" x14ac:dyDescent="0.3">
      <c r="A16" s="5" t="s">
        <v>27</v>
      </c>
      <c r="B16" s="5" t="s">
        <v>6</v>
      </c>
      <c r="C16" s="5">
        <v>15</v>
      </c>
      <c r="D16" s="4">
        <v>1509835954.52</v>
      </c>
      <c r="E16" s="4">
        <v>2503713475.3299999</v>
      </c>
      <c r="F16" s="4">
        <v>121444949</v>
      </c>
      <c r="G16" s="4">
        <v>10574802.24</v>
      </c>
      <c r="H16" s="4">
        <v>43664000</v>
      </c>
      <c r="I16" s="7">
        <f t="shared" si="0"/>
        <v>4189233181.0899997</v>
      </c>
      <c r="J16" s="4">
        <v>5015829191.5699997</v>
      </c>
      <c r="K16" s="4">
        <v>296613533.56</v>
      </c>
      <c r="L16" s="4">
        <v>17045263.52</v>
      </c>
      <c r="M16" s="7">
        <f t="shared" si="1"/>
        <v>5329487988.6500006</v>
      </c>
      <c r="N16" s="7">
        <f t="shared" si="2"/>
        <v>9518721169.7399998</v>
      </c>
    </row>
    <row r="17" spans="1:14" x14ac:dyDescent="0.3">
      <c r="A17" s="5" t="s">
        <v>34</v>
      </c>
      <c r="B17" s="5" t="s">
        <v>12</v>
      </c>
      <c r="C17" s="5">
        <v>25</v>
      </c>
      <c r="D17" s="4">
        <v>1404305371.6600001</v>
      </c>
      <c r="E17" s="4">
        <v>1906718355.74</v>
      </c>
      <c r="F17" s="4">
        <v>715276.05</v>
      </c>
      <c r="G17" s="4">
        <v>447637.44</v>
      </c>
      <c r="H17" s="4">
        <v>0</v>
      </c>
      <c r="I17" s="7">
        <f t="shared" si="0"/>
        <v>3312186640.8900003</v>
      </c>
      <c r="J17" s="4">
        <v>2110819558.45</v>
      </c>
      <c r="K17" s="4">
        <v>157866099.27000001</v>
      </c>
      <c r="L17" s="4">
        <v>14115454.1</v>
      </c>
      <c r="M17" s="7">
        <f t="shared" si="1"/>
        <v>2282801111.8200002</v>
      </c>
      <c r="N17" s="7">
        <f t="shared" si="2"/>
        <v>5594987752.710001</v>
      </c>
    </row>
    <row r="18" spans="1:14" x14ac:dyDescent="0.3">
      <c r="A18" s="5" t="s">
        <v>35</v>
      </c>
      <c r="B18" s="5" t="s">
        <v>13</v>
      </c>
      <c r="C18" s="5">
        <v>26</v>
      </c>
      <c r="D18" s="4">
        <v>2124605907.03</v>
      </c>
      <c r="E18" s="4">
        <v>2830057998.75</v>
      </c>
      <c r="F18" s="4">
        <v>15865793.07</v>
      </c>
      <c r="G18" s="4">
        <v>997495.47</v>
      </c>
      <c r="H18" s="4">
        <v>0</v>
      </c>
      <c r="I18" s="7">
        <f t="shared" si="0"/>
        <v>4971527194.3199997</v>
      </c>
      <c r="J18" s="4">
        <v>5526992585.5799999</v>
      </c>
      <c r="K18" s="4">
        <v>402767627.98000002</v>
      </c>
      <c r="L18" s="4">
        <v>41500110.75</v>
      </c>
      <c r="M18" s="7">
        <f t="shared" si="1"/>
        <v>5971260324.3099995</v>
      </c>
      <c r="N18" s="7">
        <f t="shared" si="2"/>
        <v>10942787518.629999</v>
      </c>
    </row>
    <row r="19" spans="1:14" x14ac:dyDescent="0.3">
      <c r="A19" s="5" t="s">
        <v>31</v>
      </c>
      <c r="B19" s="5" t="s">
        <v>10</v>
      </c>
      <c r="C19" s="5">
        <v>22</v>
      </c>
      <c r="D19" s="4">
        <v>1139225216.6400001</v>
      </c>
      <c r="E19" s="4">
        <v>1736071458.5699999</v>
      </c>
      <c r="F19" s="4">
        <v>509265.81</v>
      </c>
      <c r="G19" s="4">
        <v>4441211.5999999996</v>
      </c>
      <c r="H19" s="4">
        <v>0</v>
      </c>
      <c r="I19" s="7">
        <f t="shared" si="0"/>
        <v>2880247152.6199999</v>
      </c>
      <c r="J19" s="4">
        <v>1695356752.52</v>
      </c>
      <c r="K19" s="4">
        <v>119778003.86</v>
      </c>
      <c r="L19" s="4">
        <v>8019804.8200000003</v>
      </c>
      <c r="M19" s="7">
        <f t="shared" si="1"/>
        <v>1823154561.1999998</v>
      </c>
      <c r="N19" s="7">
        <f t="shared" si="2"/>
        <v>4703401713.8199997</v>
      </c>
    </row>
    <row r="20" spans="1:14" x14ac:dyDescent="0.3">
      <c r="A20" s="5" t="s">
        <v>43</v>
      </c>
      <c r="B20" s="5" t="s">
        <v>18</v>
      </c>
      <c r="C20" s="5">
        <v>41</v>
      </c>
      <c r="D20" s="4">
        <v>2916050493.4400001</v>
      </c>
      <c r="E20" s="4">
        <v>1169621458.0799999</v>
      </c>
      <c r="F20" s="4">
        <v>155223837.31999999</v>
      </c>
      <c r="G20" s="4">
        <v>80727253.840000004</v>
      </c>
      <c r="H20" s="4">
        <v>91734000</v>
      </c>
      <c r="I20" s="7">
        <f t="shared" si="0"/>
        <v>4413357042.6800003</v>
      </c>
      <c r="J20" s="4">
        <v>10676564518.84</v>
      </c>
      <c r="K20" s="4">
        <v>1472528122.5</v>
      </c>
      <c r="L20" s="4">
        <v>324238963.72000003</v>
      </c>
      <c r="M20" s="7">
        <f t="shared" si="1"/>
        <v>12473331605.059999</v>
      </c>
      <c r="N20" s="7">
        <f t="shared" si="2"/>
        <v>16886688647.74</v>
      </c>
    </row>
    <row r="21" spans="1:14" x14ac:dyDescent="0.3">
      <c r="A21" s="5" t="s">
        <v>41</v>
      </c>
      <c r="B21" s="5" t="s">
        <v>53</v>
      </c>
      <c r="C21" s="5">
        <v>33</v>
      </c>
      <c r="D21" s="4">
        <v>1264066062.8299999</v>
      </c>
      <c r="E21" s="4">
        <v>676714933.59000003</v>
      </c>
      <c r="F21" s="4">
        <v>351193773.62</v>
      </c>
      <c r="G21" s="4">
        <v>1938030.38</v>
      </c>
      <c r="H21" s="4">
        <v>161540000</v>
      </c>
      <c r="I21" s="7">
        <f t="shared" si="0"/>
        <v>2455452800.4200001</v>
      </c>
      <c r="J21" s="4">
        <v>12477301454.57</v>
      </c>
      <c r="K21" s="4">
        <v>1103628576.1300001</v>
      </c>
      <c r="L21" s="4">
        <v>375282936.19</v>
      </c>
      <c r="M21" s="7">
        <f t="shared" si="1"/>
        <v>13956212966.890001</v>
      </c>
      <c r="N21" s="7">
        <f t="shared" si="2"/>
        <v>16411665767.310001</v>
      </c>
    </row>
    <row r="22" spans="1:14" x14ac:dyDescent="0.3">
      <c r="A22" s="5" t="s">
        <v>33</v>
      </c>
      <c r="B22" s="5" t="s">
        <v>50</v>
      </c>
      <c r="C22" s="5">
        <v>24</v>
      </c>
      <c r="D22" s="4">
        <v>1060239056.59</v>
      </c>
      <c r="E22" s="4">
        <v>1686128491.3599999</v>
      </c>
      <c r="F22" s="4">
        <v>8021054.7999999998</v>
      </c>
      <c r="G22" s="4">
        <v>394108.66</v>
      </c>
      <c r="H22" s="4">
        <v>0</v>
      </c>
      <c r="I22" s="7">
        <f t="shared" si="0"/>
        <v>2754782711.4099998</v>
      </c>
      <c r="J22" s="4">
        <v>1889671774.1099999</v>
      </c>
      <c r="K22" s="4">
        <v>132989759.04000001</v>
      </c>
      <c r="L22" s="4">
        <v>9217233.1099999994</v>
      </c>
      <c r="M22" s="7">
        <f t="shared" si="1"/>
        <v>2031878766.2599998</v>
      </c>
      <c r="N22" s="7">
        <f t="shared" si="2"/>
        <v>4786661477.6700001</v>
      </c>
    </row>
    <row r="23" spans="1:14" x14ac:dyDescent="0.3">
      <c r="A23" s="5" t="s">
        <v>23</v>
      </c>
      <c r="B23" s="5" t="s">
        <v>3</v>
      </c>
      <c r="C23" s="5">
        <v>11</v>
      </c>
      <c r="D23" s="4">
        <v>365562857.19</v>
      </c>
      <c r="E23" s="4">
        <v>1180235104.21</v>
      </c>
      <c r="F23" s="4">
        <v>8443909.6600000001</v>
      </c>
      <c r="G23" s="4">
        <v>6210642.21</v>
      </c>
      <c r="H23" s="4">
        <v>0</v>
      </c>
      <c r="I23" s="7">
        <f t="shared" si="0"/>
        <v>1560452513.2700002</v>
      </c>
      <c r="J23" s="4">
        <v>1625196956.6199999</v>
      </c>
      <c r="K23" s="4">
        <v>129683984.73999999</v>
      </c>
      <c r="L23" s="4">
        <v>9140551.4199999999</v>
      </c>
      <c r="M23" s="7">
        <f t="shared" si="1"/>
        <v>1764021492.78</v>
      </c>
      <c r="N23" s="7">
        <f t="shared" si="2"/>
        <v>3324474006.0500002</v>
      </c>
    </row>
    <row r="24" spans="1:14" x14ac:dyDescent="0.3">
      <c r="A24" s="5" t="s">
        <v>26</v>
      </c>
      <c r="B24" s="5" t="s">
        <v>49</v>
      </c>
      <c r="C24" s="5">
        <v>14</v>
      </c>
      <c r="D24" s="4">
        <v>216772022.37</v>
      </c>
      <c r="E24" s="4">
        <v>1199462780.3099999</v>
      </c>
      <c r="F24" s="4">
        <v>1563883.13</v>
      </c>
      <c r="G24" s="4">
        <v>386423.16</v>
      </c>
      <c r="H24" s="4">
        <v>0</v>
      </c>
      <c r="I24" s="7">
        <f t="shared" si="0"/>
        <v>1418185108.97</v>
      </c>
      <c r="J24" s="4">
        <v>428497854.64999998</v>
      </c>
      <c r="K24" s="4">
        <v>27836941.539999999</v>
      </c>
      <c r="L24" s="4">
        <v>1440823.56</v>
      </c>
      <c r="M24" s="7">
        <f t="shared" si="1"/>
        <v>457775619.75</v>
      </c>
      <c r="N24" s="7">
        <f t="shared" si="2"/>
        <v>1875960728.72</v>
      </c>
    </row>
    <row r="25" spans="1:14" x14ac:dyDescent="0.3">
      <c r="A25" s="5" t="s">
        <v>45</v>
      </c>
      <c r="B25" s="5" t="s">
        <v>54</v>
      </c>
      <c r="C25" s="5">
        <v>43</v>
      </c>
      <c r="D25" s="4">
        <v>2875763838.6799998</v>
      </c>
      <c r="E25" s="4">
        <v>888635512.15999997</v>
      </c>
      <c r="F25" s="4">
        <v>124575964.41</v>
      </c>
      <c r="G25" s="4">
        <v>54174149.009999998</v>
      </c>
      <c r="H25" s="4">
        <v>0</v>
      </c>
      <c r="I25" s="7">
        <f t="shared" si="0"/>
        <v>3943149464.2599998</v>
      </c>
      <c r="J25" s="4">
        <v>10713810149.77</v>
      </c>
      <c r="K25" s="4">
        <v>1181114431.23</v>
      </c>
      <c r="L25" s="4">
        <v>355315009.31999999</v>
      </c>
      <c r="M25" s="7">
        <f t="shared" si="1"/>
        <v>12250239590.32</v>
      </c>
      <c r="N25" s="7">
        <f t="shared" si="2"/>
        <v>16193389054.58</v>
      </c>
    </row>
    <row r="26" spans="1:14" x14ac:dyDescent="0.3">
      <c r="A26" s="5" t="s">
        <v>44</v>
      </c>
      <c r="B26" s="5" t="s">
        <v>19</v>
      </c>
      <c r="C26" s="5">
        <v>42</v>
      </c>
      <c r="D26" s="4">
        <v>1677749322.4300001</v>
      </c>
      <c r="E26" s="4">
        <v>563341473.14999998</v>
      </c>
      <c r="F26" s="4">
        <v>102843022.56</v>
      </c>
      <c r="G26" s="4">
        <v>9710604.5399999991</v>
      </c>
      <c r="H26" s="4">
        <v>59750000</v>
      </c>
      <c r="I26" s="7">
        <f t="shared" si="0"/>
        <v>2413394422.6799998</v>
      </c>
      <c r="J26" s="4">
        <v>9032213649.2600002</v>
      </c>
      <c r="K26" s="4">
        <v>906446472.08000004</v>
      </c>
      <c r="L26" s="4">
        <v>216808193.75999999</v>
      </c>
      <c r="M26" s="7">
        <f t="shared" si="1"/>
        <v>10155468315.1</v>
      </c>
      <c r="N26" s="7">
        <f t="shared" si="2"/>
        <v>12568862737.780001</v>
      </c>
    </row>
    <row r="27" spans="1:14" x14ac:dyDescent="0.3">
      <c r="A27" s="5" t="s">
        <v>37</v>
      </c>
      <c r="B27" s="5" t="s">
        <v>14</v>
      </c>
      <c r="C27" s="5">
        <v>28</v>
      </c>
      <c r="D27" s="4">
        <v>656763161.94000006</v>
      </c>
      <c r="E27" s="4">
        <v>1685786982.8099999</v>
      </c>
      <c r="F27" s="4">
        <v>2966076.98</v>
      </c>
      <c r="G27" s="4">
        <v>635757.94999999995</v>
      </c>
      <c r="H27" s="4">
        <v>0</v>
      </c>
      <c r="I27" s="7">
        <f t="shared" si="0"/>
        <v>2346151979.6799998</v>
      </c>
      <c r="J27" s="4">
        <v>1219157791.3399999</v>
      </c>
      <c r="K27" s="4">
        <v>106178089.22</v>
      </c>
      <c r="L27" s="4">
        <v>14085042.109999999</v>
      </c>
      <c r="M27" s="7">
        <f t="shared" si="1"/>
        <v>1339420922.6699998</v>
      </c>
      <c r="N27" s="7">
        <f t="shared" si="2"/>
        <v>3685572902.3499994</v>
      </c>
    </row>
    <row r="28" spans="1:14" x14ac:dyDescent="0.3">
      <c r="A28" s="5" t="s">
        <v>42</v>
      </c>
      <c r="B28" s="5" t="s">
        <v>17</v>
      </c>
      <c r="C28" s="5">
        <v>35</v>
      </c>
      <c r="D28" s="4">
        <v>5691632252.5600004</v>
      </c>
      <c r="E28" s="4">
        <v>439768707.02999997</v>
      </c>
      <c r="F28" s="4">
        <v>351193773.62</v>
      </c>
      <c r="G28" s="4">
        <v>104818324.98999999</v>
      </c>
      <c r="H28" s="4">
        <v>0</v>
      </c>
      <c r="I28" s="7">
        <f t="shared" si="0"/>
        <v>6587413058.1999998</v>
      </c>
      <c r="J28" s="4">
        <v>47612245071.400002</v>
      </c>
      <c r="K28" s="4">
        <v>6375389585.4799995</v>
      </c>
      <c r="L28" s="4">
        <v>1471264690.76</v>
      </c>
      <c r="M28" s="7">
        <f t="shared" si="1"/>
        <v>55458899347.640007</v>
      </c>
      <c r="N28" s="7">
        <f t="shared" si="2"/>
        <v>62046312405.840004</v>
      </c>
    </row>
    <row r="29" spans="1:14" x14ac:dyDescent="0.3">
      <c r="A29" s="5" t="s">
        <v>29</v>
      </c>
      <c r="B29" s="5" t="s">
        <v>8</v>
      </c>
      <c r="C29" s="5">
        <v>17</v>
      </c>
      <c r="D29" s="8">
        <v>578565474.32000005</v>
      </c>
      <c r="E29" s="8">
        <v>1557080073.23</v>
      </c>
      <c r="F29" s="8">
        <v>4213991.33</v>
      </c>
      <c r="G29" s="8">
        <v>15675990.4</v>
      </c>
      <c r="H29" s="8">
        <v>0</v>
      </c>
      <c r="I29" s="7">
        <f t="shared" si="0"/>
        <v>2155535529.2800002</v>
      </c>
      <c r="J29" s="8">
        <v>1280181829.3399999</v>
      </c>
      <c r="K29" s="8">
        <v>121510196.86</v>
      </c>
      <c r="L29" s="8">
        <v>21109036.460000001</v>
      </c>
      <c r="M29" s="7">
        <f t="shared" si="1"/>
        <v>1422801062.6599998</v>
      </c>
      <c r="N29" s="7">
        <f t="shared" si="2"/>
        <v>3578336591.9400001</v>
      </c>
    </row>
    <row r="30" spans="1:14" x14ac:dyDescent="0.3">
      <c r="A30" s="12" t="s">
        <v>68</v>
      </c>
      <c r="B30" s="13"/>
      <c r="C30" s="14"/>
      <c r="D30" s="9">
        <f t="shared" ref="D30:G30" si="3">SUM(D3:D29)</f>
        <v>42899213895.129997</v>
      </c>
      <c r="E30" s="9">
        <f t="shared" si="3"/>
        <v>40992584465.150002</v>
      </c>
      <c r="F30" s="9">
        <f t="shared" si="3"/>
        <v>1755968861.7600002</v>
      </c>
      <c r="G30" s="9">
        <f t="shared" si="3"/>
        <v>732170500.99000001</v>
      </c>
      <c r="H30" s="9">
        <f>SUM(H3:H29)</f>
        <v>768845836.74000001</v>
      </c>
      <c r="I30" s="10">
        <f>SUM(I3:I29)</f>
        <v>87148783559.769958</v>
      </c>
      <c r="J30" s="9">
        <f>SUM(J3:J29)</f>
        <v>172549075516.86996</v>
      </c>
      <c r="K30" s="9">
        <f t="shared" ref="K30:L30" si="4">SUM(K3:K29)</f>
        <v>18793720485.230003</v>
      </c>
      <c r="L30" s="9">
        <f t="shared" si="4"/>
        <v>4033553702.0299997</v>
      </c>
      <c r="M30" s="10">
        <f>SUM(M3:M29)</f>
        <v>195376349704.13</v>
      </c>
      <c r="N30" s="10">
        <f>SUM(N3:N29)</f>
        <v>282525133263.90002</v>
      </c>
    </row>
    <row r="34" spans="9:9" x14ac:dyDescent="0.3">
      <c r="I34" s="18"/>
    </row>
    <row r="36" spans="9:9" x14ac:dyDescent="0.3">
      <c r="I36" s="18"/>
    </row>
  </sheetData>
  <mergeCells count="2">
    <mergeCell ref="A30:C30"/>
    <mergeCell ref="A1:N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Camargo Araujo</dc:creator>
  <cp:lastModifiedBy>Guido Neves Silva</cp:lastModifiedBy>
  <cp:lastPrinted>2024-01-02T11:10:33Z</cp:lastPrinted>
  <dcterms:created xsi:type="dcterms:W3CDTF">2023-10-30T02:13:57Z</dcterms:created>
  <dcterms:modified xsi:type="dcterms:W3CDTF">2026-06-10T23:19:30Z</dcterms:modified>
</cp:coreProperties>
</file>